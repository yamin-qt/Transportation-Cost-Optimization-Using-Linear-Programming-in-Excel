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ED8237DF-229B-4BBC-9F11-09D8DBD71AC0}" xr6:coauthVersionLast="47" xr6:coauthVersionMax="47" xr10:uidLastSave="{00000000-0000-0000-0000-000000000000}"/>
  <bookViews>
    <workbookView xWindow="-108" yWindow="-108" windowWidth="23256" windowHeight="13176" xr2:uid="{79D66724-8D98-4CA4-B534-EED06C97FEC9}"/>
  </bookViews>
  <sheets>
    <sheet name="Transportation" sheetId="1" r:id="rId1"/>
  </sheets>
  <definedNames>
    <definedName name="solver_adj" localSheetId="0" hidden="1">Transportation!$I$16:$K$23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Transportation!$I$16:$K$23</definedName>
    <definedName name="solver_lhs2" localSheetId="0" hidden="1">Transportation!$I$16:$K$23</definedName>
    <definedName name="solver_lhs3" localSheetId="0" hidden="1">Transportation!$I$24:$K$24</definedName>
    <definedName name="solver_lhs4" localSheetId="0" hidden="1">Transportation!$L$16:$L$23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Transportation!$I$27</definedName>
    <definedName name="solver_pre" localSheetId="0" hidden="1">0.000001</definedName>
    <definedName name="solver_rbv" localSheetId="0" hidden="1">1</definedName>
    <definedName name="solver_rel1" localSheetId="0" hidden="1">4</definedName>
    <definedName name="solver_rel2" localSheetId="0" hidden="1">3</definedName>
    <definedName name="solver_rel3" localSheetId="0" hidden="1">1</definedName>
    <definedName name="solver_rel4" localSheetId="0" hidden="1">2</definedName>
    <definedName name="solver_rhs1" localSheetId="0" hidden="1">"integer"</definedName>
    <definedName name="solver_rhs2" localSheetId="0" hidden="1">0</definedName>
    <definedName name="solver_rhs3" localSheetId="0" hidden="1">Transportation!$I$9:$K$9</definedName>
    <definedName name="solver_rhs4" localSheetId="0" hidden="1">Transportation!$D$3:$D$10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" i="1" l="1"/>
  <c r="I27" i="1"/>
  <c r="J24" i="1"/>
  <c r="K24" i="1"/>
  <c r="I24" i="1"/>
  <c r="L17" i="1"/>
  <c r="L18" i="1"/>
  <c r="L19" i="1"/>
  <c r="L20" i="1"/>
  <c r="L21" i="1"/>
  <c r="L22" i="1"/>
  <c r="L23" i="1"/>
  <c r="L16" i="1"/>
  <c r="H6" i="1"/>
  <c r="D11" i="1"/>
</calcChain>
</file>

<file path=xl/sharedStrings.xml><?xml version="1.0" encoding="utf-8"?>
<sst xmlns="http://schemas.openxmlformats.org/spreadsheetml/2006/main" count="55" uniqueCount="24">
  <si>
    <t>City</t>
  </si>
  <si>
    <t>State</t>
  </si>
  <si>
    <t>Demand</t>
  </si>
  <si>
    <t>Distribution Center</t>
  </si>
  <si>
    <t>Capacity</t>
  </si>
  <si>
    <t>Abilene</t>
  </si>
  <si>
    <t>Texas</t>
  </si>
  <si>
    <t>Amarillo</t>
  </si>
  <si>
    <t>Canton</t>
  </si>
  <si>
    <t>Oklahoma</t>
  </si>
  <si>
    <t>Kansas City</t>
  </si>
  <si>
    <t>Dodge City</t>
  </si>
  <si>
    <t>Kansas</t>
  </si>
  <si>
    <t>Tulsa</t>
  </si>
  <si>
    <t>Lawton</t>
  </si>
  <si>
    <t>Manhattan</t>
  </si>
  <si>
    <t>Oklahoma City</t>
  </si>
  <si>
    <t>Sweetwater</t>
  </si>
  <si>
    <t>Wichita Falls</t>
  </si>
  <si>
    <t>Distance</t>
  </si>
  <si>
    <t>Cost per mile</t>
  </si>
  <si>
    <t>Supply</t>
  </si>
  <si>
    <t>Total Cost</t>
  </si>
  <si>
    <t>Outbound Transportation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</si>
</sst>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3" fillId="0" borderId="0" xfId="0" applyFont="1"/>
    <xf numFmtId="0" fontId="2" fillId="3" borderId="0" xfId="0" applyFont="1" applyFill="1"/>
    <xf numFmtId="0" fontId="2" fillId="4" borderId="0" xfId="0" applyFont="1" applyFill="1"/>
    <xf numFmtId="0" fontId="0" fillId="4" borderId="0" xfId="0" applyFill="1"/>
    <xf numFmtId="0" fontId="0" fillId="5" borderId="0" xfId="0" applyFill="1"/>
    <xf numFmtId="0" fontId="1" fillId="0" borderId="0" xfId="0" applyFont="1"/>
    <xf numFmtId="0" fontId="0" fillId="6" borderId="1" xfId="0" applyFill="1" applyBorder="1"/>
    <xf numFmtId="0" fontId="3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A7FEA-A145-4FF1-AB4B-0DA85EB1CA22}">
  <dimension ref="B2:L27"/>
  <sheetViews>
    <sheetView tabSelected="1" workbookViewId="0">
      <selection activeCell="I27" sqref="I27"/>
    </sheetView>
  </sheetViews>
  <sheetFormatPr defaultRowHeight="14.4" x14ac:dyDescent="0.3"/>
  <cols>
    <col min="2" max="2" width="12.5546875" bestFit="1" customWidth="1"/>
    <col min="3" max="3" width="9.21875" bestFit="1" customWidth="1"/>
    <col min="4" max="4" width="14" customWidth="1"/>
    <col min="7" max="7" width="16.109375" bestFit="1" customWidth="1"/>
    <col min="8" max="8" width="12.88671875" bestFit="1" customWidth="1"/>
    <col min="10" max="10" width="10.109375" bestFit="1" customWidth="1"/>
  </cols>
  <sheetData>
    <row r="2" spans="2:12" x14ac:dyDescent="0.3">
      <c r="B2" s="4" t="s">
        <v>0</v>
      </c>
      <c r="C2" s="4" t="s">
        <v>1</v>
      </c>
      <c r="D2" s="4" t="s">
        <v>2</v>
      </c>
      <c r="E2" s="1"/>
      <c r="F2" s="1"/>
      <c r="G2" s="4" t="s">
        <v>3</v>
      </c>
      <c r="H2" s="4" t="s">
        <v>4</v>
      </c>
    </row>
    <row r="3" spans="2:12" x14ac:dyDescent="0.3">
      <c r="B3" s="1" t="s">
        <v>5</v>
      </c>
      <c r="C3" s="1" t="s">
        <v>6</v>
      </c>
      <c r="D3" s="5">
        <v>600</v>
      </c>
      <c r="E3" s="1"/>
      <c r="F3" s="1"/>
      <c r="G3" s="1" t="s">
        <v>7</v>
      </c>
      <c r="H3" s="5">
        <v>1000</v>
      </c>
    </row>
    <row r="4" spans="2:12" x14ac:dyDescent="0.3">
      <c r="B4" s="1" t="s">
        <v>8</v>
      </c>
      <c r="C4" s="1" t="s">
        <v>9</v>
      </c>
      <c r="D4" s="5">
        <v>350</v>
      </c>
      <c r="E4" s="1"/>
      <c r="F4" s="1"/>
      <c r="G4" s="1" t="s">
        <v>10</v>
      </c>
      <c r="H4" s="5">
        <v>1300</v>
      </c>
    </row>
    <row r="5" spans="2:12" x14ac:dyDescent="0.3">
      <c r="B5" s="1" t="s">
        <v>11</v>
      </c>
      <c r="C5" s="1" t="s">
        <v>12</v>
      </c>
      <c r="D5" s="5">
        <v>400</v>
      </c>
      <c r="E5" s="1"/>
      <c r="F5" s="1"/>
      <c r="G5" s="1" t="s">
        <v>13</v>
      </c>
      <c r="H5" s="5">
        <v>1200</v>
      </c>
    </row>
    <row r="6" spans="2:12" ht="13.8" customHeight="1" x14ac:dyDescent="0.3">
      <c r="B6" s="1" t="s">
        <v>14</v>
      </c>
      <c r="C6" s="1" t="s">
        <v>9</v>
      </c>
      <c r="D6" s="5">
        <v>425</v>
      </c>
      <c r="E6" s="1"/>
      <c r="F6" s="1"/>
      <c r="G6" s="1"/>
      <c r="H6" s="3">
        <f>SUM(H3:H5)</f>
        <v>3500</v>
      </c>
    </row>
    <row r="7" spans="2:12" x14ac:dyDescent="0.3">
      <c r="B7" s="1" t="s">
        <v>15</v>
      </c>
      <c r="C7" s="1" t="s">
        <v>12</v>
      </c>
      <c r="D7" s="5">
        <v>200</v>
      </c>
      <c r="E7" s="1"/>
      <c r="F7" s="1"/>
      <c r="G7" s="1"/>
      <c r="H7" s="1"/>
    </row>
    <row r="8" spans="2:12" x14ac:dyDescent="0.3">
      <c r="B8" s="1" t="s">
        <v>16</v>
      </c>
      <c r="C8" s="1" t="s">
        <v>9</v>
      </c>
      <c r="D8" s="5">
        <v>500</v>
      </c>
      <c r="E8" s="1"/>
      <c r="F8" s="1"/>
      <c r="G8" s="1"/>
      <c r="H8" s="1"/>
      <c r="I8" s="4" t="s">
        <v>7</v>
      </c>
      <c r="J8" s="4" t="s">
        <v>10</v>
      </c>
      <c r="K8" s="4" t="s">
        <v>13</v>
      </c>
      <c r="L8" s="1"/>
    </row>
    <row r="9" spans="2:12" x14ac:dyDescent="0.3">
      <c r="B9" s="1" t="s">
        <v>17</v>
      </c>
      <c r="C9" s="1" t="s">
        <v>6</v>
      </c>
      <c r="D9" s="5">
        <v>600</v>
      </c>
      <c r="E9" s="1"/>
      <c r="F9" s="1"/>
      <c r="G9" s="1"/>
      <c r="H9" s="1"/>
      <c r="I9" s="5">
        <v>1000</v>
      </c>
      <c r="J9" s="5">
        <v>1300</v>
      </c>
      <c r="K9" s="5">
        <v>1200</v>
      </c>
      <c r="L9" s="3">
        <f>SUM(I9:K9)</f>
        <v>3500</v>
      </c>
    </row>
    <row r="10" spans="2:12" x14ac:dyDescent="0.3">
      <c r="B10" s="1" t="s">
        <v>18</v>
      </c>
      <c r="C10" s="1" t="s">
        <v>6</v>
      </c>
      <c r="D10" s="5">
        <v>250</v>
      </c>
      <c r="E10" s="1"/>
      <c r="F10" s="1"/>
      <c r="G10" s="1"/>
      <c r="H10" s="1"/>
    </row>
    <row r="11" spans="2:12" x14ac:dyDescent="0.3">
      <c r="B11" s="1"/>
      <c r="C11" s="1"/>
      <c r="D11" s="2">
        <f>SUM(D3:D10)</f>
        <v>3325</v>
      </c>
      <c r="E11" s="1"/>
      <c r="F11" s="1"/>
      <c r="G11" s="1"/>
      <c r="H11" s="1"/>
    </row>
    <row r="12" spans="2:12" x14ac:dyDescent="0.3">
      <c r="B12" s="1"/>
      <c r="C12" s="1"/>
      <c r="D12" s="1"/>
      <c r="E12" s="1"/>
      <c r="F12" s="1"/>
      <c r="G12" s="1"/>
      <c r="H12" s="1"/>
    </row>
    <row r="13" spans="2:12" x14ac:dyDescent="0.3">
      <c r="B13" s="1"/>
      <c r="C13" s="1"/>
      <c r="D13" s="1"/>
      <c r="E13" s="1"/>
      <c r="F13" s="1"/>
      <c r="G13" s="1"/>
      <c r="H13" s="1"/>
    </row>
    <row r="14" spans="2:12" x14ac:dyDescent="0.3">
      <c r="B14" s="4" t="s">
        <v>19</v>
      </c>
      <c r="C14" s="1"/>
      <c r="D14" s="1"/>
      <c r="E14" s="1"/>
      <c r="F14" s="1"/>
      <c r="G14" s="1"/>
      <c r="H14" s="11" t="s">
        <v>23</v>
      </c>
      <c r="I14" s="11"/>
      <c r="J14" s="11"/>
      <c r="K14" s="11"/>
      <c r="L14" s="11"/>
    </row>
    <row r="15" spans="2:12" x14ac:dyDescent="0.3">
      <c r="B15" s="1"/>
      <c r="C15" s="1" t="s">
        <v>7</v>
      </c>
      <c r="D15" s="1" t="s">
        <v>10</v>
      </c>
      <c r="E15" s="1" t="s">
        <v>13</v>
      </c>
      <c r="F15" s="1"/>
      <c r="G15" s="1"/>
      <c r="H15" s="1"/>
      <c r="I15" s="4" t="s">
        <v>7</v>
      </c>
      <c r="J15" s="4" t="s">
        <v>10</v>
      </c>
      <c r="K15" s="4" t="s">
        <v>13</v>
      </c>
      <c r="L15" s="4" t="s">
        <v>2</v>
      </c>
    </row>
    <row r="16" spans="2:12" x14ac:dyDescent="0.3">
      <c r="B16" s="1" t="s">
        <v>5</v>
      </c>
      <c r="C16" s="5">
        <v>270</v>
      </c>
      <c r="D16" s="5">
        <v>640</v>
      </c>
      <c r="E16" s="5">
        <v>395</v>
      </c>
      <c r="F16" s="1"/>
      <c r="G16" s="1"/>
      <c r="H16" s="4" t="s">
        <v>5</v>
      </c>
      <c r="I16" s="5">
        <v>400</v>
      </c>
      <c r="J16" s="5">
        <v>175</v>
      </c>
      <c r="K16" s="5">
        <v>25</v>
      </c>
      <c r="L16" s="7">
        <f>SUM(I16:K16)</f>
        <v>600</v>
      </c>
    </row>
    <row r="17" spans="2:12" x14ac:dyDescent="0.3">
      <c r="B17" s="1" t="s">
        <v>8</v>
      </c>
      <c r="C17" s="5">
        <v>210</v>
      </c>
      <c r="D17" s="5">
        <v>359</v>
      </c>
      <c r="E17" s="5">
        <v>158</v>
      </c>
      <c r="F17" s="1"/>
      <c r="G17" s="1"/>
      <c r="H17" s="4" t="s">
        <v>8</v>
      </c>
      <c r="I17" s="5">
        <v>0</v>
      </c>
      <c r="J17" s="5">
        <v>350</v>
      </c>
      <c r="K17" s="5">
        <v>0</v>
      </c>
      <c r="L17" s="7">
        <f t="shared" ref="L17:L23" si="0">SUM(I17:K17)</f>
        <v>350</v>
      </c>
    </row>
    <row r="18" spans="2:12" x14ac:dyDescent="0.3">
      <c r="B18" s="1" t="s">
        <v>11</v>
      </c>
      <c r="C18" s="5">
        <v>240</v>
      </c>
      <c r="D18" s="5">
        <v>333</v>
      </c>
      <c r="E18" s="5">
        <v>318</v>
      </c>
      <c r="F18" s="1"/>
      <c r="G18" s="1"/>
      <c r="H18" s="4" t="s">
        <v>11</v>
      </c>
      <c r="I18" s="5">
        <v>0</v>
      </c>
      <c r="J18" s="5">
        <v>400</v>
      </c>
      <c r="K18" s="5">
        <v>0</v>
      </c>
      <c r="L18" s="7">
        <f t="shared" si="0"/>
        <v>400</v>
      </c>
    </row>
    <row r="19" spans="2:12" x14ac:dyDescent="0.3">
      <c r="B19" s="1" t="s">
        <v>14</v>
      </c>
      <c r="C19" s="5">
        <v>215</v>
      </c>
      <c r="D19" s="5">
        <v>436</v>
      </c>
      <c r="E19" s="5">
        <v>191</v>
      </c>
      <c r="F19" s="1"/>
      <c r="G19" s="1"/>
      <c r="H19" s="4" t="s">
        <v>14</v>
      </c>
      <c r="I19" s="5">
        <v>0</v>
      </c>
      <c r="J19" s="5">
        <v>0</v>
      </c>
      <c r="K19" s="5">
        <v>425</v>
      </c>
      <c r="L19" s="7">
        <f t="shared" si="0"/>
        <v>425</v>
      </c>
    </row>
    <row r="20" spans="2:12" x14ac:dyDescent="0.3">
      <c r="B20" s="1" t="s">
        <v>15</v>
      </c>
      <c r="C20" s="5">
        <v>466</v>
      </c>
      <c r="D20" s="5">
        <v>119</v>
      </c>
      <c r="E20" s="5">
        <v>254</v>
      </c>
      <c r="F20" s="1"/>
      <c r="G20" s="1"/>
      <c r="H20" s="4" t="s">
        <v>15</v>
      </c>
      <c r="I20" s="5">
        <v>0</v>
      </c>
      <c r="J20" s="5">
        <v>200</v>
      </c>
      <c r="K20" s="5">
        <v>0</v>
      </c>
      <c r="L20" s="7">
        <f t="shared" si="0"/>
        <v>200</v>
      </c>
    </row>
    <row r="21" spans="2:12" x14ac:dyDescent="0.3">
      <c r="B21" s="1" t="s">
        <v>16</v>
      </c>
      <c r="C21" s="5">
        <v>259</v>
      </c>
      <c r="D21" s="5">
        <v>351</v>
      </c>
      <c r="E21" s="5">
        <v>106</v>
      </c>
      <c r="F21" s="1"/>
      <c r="G21" s="1"/>
      <c r="H21" s="4" t="s">
        <v>16</v>
      </c>
      <c r="I21" s="5">
        <v>0</v>
      </c>
      <c r="J21" s="5">
        <v>0</v>
      </c>
      <c r="K21" s="5">
        <v>500</v>
      </c>
      <c r="L21" s="7">
        <f t="shared" si="0"/>
        <v>500</v>
      </c>
    </row>
    <row r="22" spans="2:12" x14ac:dyDescent="0.3">
      <c r="B22" s="1" t="s">
        <v>17</v>
      </c>
      <c r="C22" s="5">
        <v>245</v>
      </c>
      <c r="D22" s="5">
        <v>656</v>
      </c>
      <c r="E22" s="5">
        <v>411</v>
      </c>
      <c r="F22" s="1"/>
      <c r="G22" s="1"/>
      <c r="H22" s="4" t="s">
        <v>17</v>
      </c>
      <c r="I22" s="5">
        <v>600</v>
      </c>
      <c r="J22" s="5">
        <v>0</v>
      </c>
      <c r="K22" s="5">
        <v>0</v>
      </c>
      <c r="L22" s="7">
        <f t="shared" si="0"/>
        <v>600</v>
      </c>
    </row>
    <row r="23" spans="2:12" x14ac:dyDescent="0.3">
      <c r="B23" s="1" t="s">
        <v>18</v>
      </c>
      <c r="C23" s="5">
        <v>258</v>
      </c>
      <c r="D23" s="5">
        <v>488</v>
      </c>
      <c r="E23" s="5">
        <v>243</v>
      </c>
      <c r="F23" s="1"/>
      <c r="G23" s="1"/>
      <c r="H23" s="4" t="s">
        <v>18</v>
      </c>
      <c r="I23" s="5">
        <v>0</v>
      </c>
      <c r="J23" s="5">
        <v>0</v>
      </c>
      <c r="K23" s="5">
        <v>250</v>
      </c>
      <c r="L23" s="7">
        <f t="shared" si="0"/>
        <v>250</v>
      </c>
    </row>
    <row r="24" spans="2:12" x14ac:dyDescent="0.3">
      <c r="D24" s="1"/>
      <c r="E24" s="1"/>
      <c r="F24" s="1"/>
      <c r="G24" s="1"/>
      <c r="H24" s="6" t="s">
        <v>21</v>
      </c>
      <c r="I24" s="7">
        <f>SUM(I16:I23)</f>
        <v>1000</v>
      </c>
      <c r="J24" s="7">
        <f t="shared" ref="J24:K24" si="1">SUM(J16:J23)</f>
        <v>1125</v>
      </c>
      <c r="K24" s="7">
        <f t="shared" si="1"/>
        <v>1200</v>
      </c>
      <c r="L24" s="8"/>
    </row>
    <row r="26" spans="2:12" ht="15" thickBot="1" x14ac:dyDescent="0.35">
      <c r="B26" s="1" t="s">
        <v>20</v>
      </c>
      <c r="C26" s="1">
        <v>0.1</v>
      </c>
    </row>
    <row r="27" spans="2:12" ht="15" thickBot="1" x14ac:dyDescent="0.35">
      <c r="H27" s="9" t="s">
        <v>22</v>
      </c>
      <c r="I27" s="10">
        <f>SUMPRODUCT(C16:E23,I16:K23)*C26</f>
        <v>85445</v>
      </c>
    </row>
  </sheetData>
  <mergeCells count="1">
    <mergeCell ref="H14:L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Transportation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Yamin Alam</dc:creator>
  <cp:lastModifiedBy>Yamin Alam</cp:lastModifiedBy>
  <dcterms:created xsi:type="dcterms:W3CDTF">2026-02-13T21:06:05Z</dcterms:created>
  <dcterms:modified xsi:type="dcterms:W3CDTF">2026-02-13T21:31:42Z</dcterms:modified>
</cp:coreProperties>
</file>